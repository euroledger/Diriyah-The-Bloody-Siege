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es of Siege Diriyah\rules\"/>
    </mc:Choice>
  </mc:AlternateContent>
  <xr:revisionPtr revIDLastSave="0" documentId="13_ncr:1_{9582C6BF-9963-43D7-B861-575EB6DE7EE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Ottoman" sheetId="1" r:id="rId1"/>
    <sheet name="Saudi" sheetId="2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G33" i="1"/>
  <c r="F33" i="1"/>
  <c r="E33" i="1"/>
</calcChain>
</file>

<file path=xl/sharedStrings.xml><?xml version="1.0" encoding="utf-8"?>
<sst xmlns="http://schemas.openxmlformats.org/spreadsheetml/2006/main" count="341" uniqueCount="193">
  <si>
    <t>Card Number</t>
  </si>
  <si>
    <t>Title</t>
  </si>
  <si>
    <t>6</t>
  </si>
  <si>
    <t>7</t>
  </si>
  <si>
    <t>8</t>
  </si>
  <si>
    <t>9</t>
  </si>
  <si>
    <t xml:space="preserve"> </t>
  </si>
  <si>
    <t>10</t>
  </si>
  <si>
    <t>11</t>
  </si>
  <si>
    <t>12</t>
  </si>
  <si>
    <t>13</t>
  </si>
  <si>
    <t>15</t>
  </si>
  <si>
    <t>16</t>
  </si>
  <si>
    <t>14</t>
  </si>
  <si>
    <t>17</t>
  </si>
  <si>
    <t>18</t>
  </si>
  <si>
    <t>19</t>
  </si>
  <si>
    <t>20</t>
  </si>
  <si>
    <t>22</t>
  </si>
  <si>
    <t>21</t>
  </si>
  <si>
    <t>23</t>
  </si>
  <si>
    <t>24</t>
  </si>
  <si>
    <t>25</t>
  </si>
  <si>
    <t>26</t>
  </si>
  <si>
    <t>28</t>
  </si>
  <si>
    <t>27</t>
  </si>
  <si>
    <t>29</t>
  </si>
  <si>
    <t>30</t>
  </si>
  <si>
    <t>ADVANCE</t>
  </si>
  <si>
    <t>PASHA</t>
  </si>
  <si>
    <t>EVENTS</t>
  </si>
  <si>
    <t>WESTERN</t>
  </si>
  <si>
    <t>NORTH-EASTERN</t>
  </si>
  <si>
    <t>SOUTHERN</t>
  </si>
  <si>
    <t>REINFORCEMENTS</t>
  </si>
  <si>
    <t>Cavalry</t>
  </si>
  <si>
    <t>Artillery</t>
  </si>
  <si>
    <t>OTTOMAN</t>
  </si>
  <si>
    <t>S</t>
  </si>
  <si>
    <t>ACTIONS</t>
  </si>
  <si>
    <t>IMAM ABDULLAH</t>
  </si>
  <si>
    <t>Ambush</t>
  </si>
  <si>
    <t>YES</t>
  </si>
  <si>
    <t>ACTIOND</t>
  </si>
  <si>
    <t>Place Ambush Marker in any Settlement Space</t>
  </si>
  <si>
    <t>Place a Commander marker in any space</t>
  </si>
  <si>
    <t>MARKERS &amp; REINFORCEMENTS</t>
  </si>
  <si>
    <t>AMBUSH (+3)</t>
  </si>
  <si>
    <t>COMMANDER (+2)</t>
  </si>
  <si>
    <t>Commander</t>
  </si>
  <si>
    <t>2 x GARRISON INFANTRY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</si>
  <si>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</si>
  <si>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</si>
  <si>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</si>
  <si>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</si>
  <si>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</si>
  <si>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</si>
  <si>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</si>
  <si>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</si>
  <si>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</si>
  <si>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</si>
  <si>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</si>
  <si>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</si>
  <si>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</si>
  <si>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</si>
  <si>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</si>
  <si>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</si>
  <si>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</si>
  <si>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</si>
  <si>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</si>
  <si>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</si>
  <si>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</si>
  <si>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</si>
  <si>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</si>
  <si>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</si>
  <si>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</si>
  <si>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</si>
  <si>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</si>
  <si>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</si>
  <si>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</si>
  <si>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Manfuha Contingent</t>
  </si>
  <si>
    <t>Al Haruq Contingent</t>
  </si>
  <si>
    <t>Add 2 Garrison Infantry to Reserve</t>
  </si>
  <si>
    <t>SHARPSHOOTERS (+3)</t>
  </si>
  <si>
    <t>Add Sharpshooters Marker to W Front Space</t>
  </si>
  <si>
    <t>Local Tribesmen</t>
  </si>
  <si>
    <t>Add 3 Local Tribesmen to Reserve</t>
  </si>
  <si>
    <t>3 x LOCAL TRIBESMEN</t>
  </si>
  <si>
    <t>Ottoman Event is NO EFFECT</t>
  </si>
  <si>
    <t>Night Raids</t>
  </si>
  <si>
    <t>Horse Starvation</t>
  </si>
  <si>
    <t>Place 2 Barricades markers to Settlements/Wadi spaces</t>
  </si>
  <si>
    <t>Watchtowers</t>
  </si>
  <si>
    <t>2 x BARRICADES (+2 Defense)</t>
  </si>
  <si>
    <t>Add 2  Watchtowers to any Wahhabi spaces</t>
  </si>
  <si>
    <t>2 x WATCHTOWERS (+1 Defense)</t>
  </si>
  <si>
    <t>Units in Bold Italics -&gt; Reserve</t>
  </si>
  <si>
    <t>Rationing</t>
  </si>
  <si>
    <t>Increase Wahhabi Supply by 1</t>
  </si>
  <si>
    <t>+1 SUPPLY</t>
  </si>
  <si>
    <t>Palm Grove Harvest</t>
  </si>
  <si>
    <t>Barricades</t>
  </si>
  <si>
    <t>Palm Grove Trenches</t>
  </si>
  <si>
    <t>Place 2 Trenches markers to Settlements/Wadi spaces</t>
  </si>
  <si>
    <t>2 x TRENCHES (+1 Defense)</t>
  </si>
  <si>
    <t>1 x TOWER OUTPOST (-1 Ottoman Attack)</t>
  </si>
  <si>
    <t>Breach Repairs</t>
  </si>
  <si>
    <t>Repair Breach in Fortified Space</t>
  </si>
  <si>
    <t>Najd Interdiction</t>
  </si>
  <si>
    <t>Remove 2 Ottoman Units</t>
  </si>
  <si>
    <t>Tribal Raids on Supply Lines</t>
  </si>
  <si>
    <t>Add 3 Local Tribesmen to Supply Lines Attackers Box</t>
  </si>
  <si>
    <t>3 x Local Tribesmen</t>
  </si>
  <si>
    <t>Unified Leadership</t>
  </si>
  <si>
    <t>Increase Wahhabi Morale by 2</t>
  </si>
  <si>
    <t>Operational Pause</t>
  </si>
  <si>
    <t>No Ottoman Advances</t>
  </si>
  <si>
    <t>Caravan Delay</t>
  </si>
  <si>
    <t>Flip All Ottoman Fronts to Disrupted</t>
  </si>
  <si>
    <t>Explosion in Siege Camp</t>
  </si>
  <si>
    <t>Roll d6: 1-3 - Siege Camp Units Disrupted for 2 turns</t>
  </si>
  <si>
    <t>Add 1 Cavalry to S Front</t>
  </si>
  <si>
    <t>NE</t>
  </si>
  <si>
    <t>W</t>
  </si>
  <si>
    <t>Add Artillery Unit to All 3 Fronts</t>
  </si>
  <si>
    <t>Y</t>
  </si>
  <si>
    <t>Place Local Traitors marker on S Front Wahhabi Space</t>
  </si>
  <si>
    <t>Add 1 Artillery, 1 Cavalry to Siege Camp</t>
  </si>
  <si>
    <t>-2 Wahhabi Morale</t>
  </si>
  <si>
    <t>No Wahhabi Events or Actions this turn</t>
  </si>
  <si>
    <t>Remove one Wahhabi Artillery Unit</t>
  </si>
  <si>
    <t>Supply Status to NORMAL</t>
  </si>
  <si>
    <t>Move Cavalry Units to Western Front</t>
  </si>
  <si>
    <t>1 to Siege Camp</t>
  </si>
  <si>
    <t>MARKERS</t>
  </si>
  <si>
    <t>Uzun Ali to Supply Lines</t>
  </si>
  <si>
    <t>Flip All Units from Disrupted to Full Strength</t>
  </si>
  <si>
    <t>Sickness &amp; Heatstroke</t>
  </si>
  <si>
    <t>TOTAL</t>
  </si>
  <si>
    <t>Uzun Ali marker to Supply Lines box; +2 to all attacks</t>
  </si>
  <si>
    <t>Causes Two Breaches to Front Line Stronghold</t>
  </si>
  <si>
    <t>FASTEST</t>
  </si>
  <si>
    <t>SLOWEST</t>
  </si>
  <si>
    <t>VAISSIERE</t>
  </si>
  <si>
    <t>REDEPLOYMENT</t>
  </si>
  <si>
    <t>-2 Wahhabi Supply; no Wahhabi Actions this turn</t>
  </si>
  <si>
    <t>F</t>
  </si>
  <si>
    <t xml:space="preserve"> Y</t>
  </si>
  <si>
    <t>1M, 3T, 2F</t>
  </si>
  <si>
    <t>2T, 2M, 2F</t>
  </si>
  <si>
    <t>RASHWAN AGHA</t>
  </si>
  <si>
    <t>+2 to all combats on NE FRONT</t>
  </si>
  <si>
    <t>RECONNAISANCE</t>
  </si>
  <si>
    <t>ARTILLERY</t>
  </si>
  <si>
    <t>ELITE CAVALRY</t>
  </si>
  <si>
    <t>LOCAL TRAITORS</t>
  </si>
  <si>
    <t>UZUN ALI</t>
  </si>
  <si>
    <t>BEDOUIN TRIBES</t>
  </si>
  <si>
    <t>AL MAGHARIBA DIVERSION</t>
  </si>
  <si>
    <t>COUNTER-BATTERY</t>
  </si>
  <si>
    <t>BEDOUIN SUPPLY PROTECTION</t>
  </si>
  <si>
    <t>CAVALRY SWEEP</t>
  </si>
  <si>
    <t>CITADEL FAMINE</t>
  </si>
  <si>
    <t>RALLY</t>
  </si>
  <si>
    <t>SIEGE FAMINE</t>
  </si>
  <si>
    <t>KHALIL PASHA REINFORCEMENTS</t>
  </si>
  <si>
    <t>Local Traitors Marker SOUTHERN</t>
  </si>
  <si>
    <t>Ambush Markers all Fronts</t>
  </si>
  <si>
    <t>1 toW</t>
  </si>
  <si>
    <t>1 to NE</t>
  </si>
  <si>
    <t xml:space="preserve">1 to S </t>
  </si>
  <si>
    <t>Redeploy 2 artillery, 2 cavalry from siege camp to fastest advance</t>
  </si>
  <si>
    <t>Redeploy 2 artillery, 2 cavalry from siege camp to slowest advance</t>
  </si>
  <si>
    <t>-1 Wahhabi Supply; no Wahhabi Actions this turn</t>
  </si>
  <si>
    <t>Add Elite Cavalry to W and NE Fronts unless outnumbered in Supply Lines</t>
  </si>
  <si>
    <t>Add Elite Cavalry to S Fronts unless outnumbered in Supply Lines</t>
  </si>
  <si>
    <t>RAPID ADVANCE</t>
  </si>
  <si>
    <t>Automatic advance into the next Settlement, Wadi or Heights space</t>
  </si>
  <si>
    <t xml:space="preserve">TACTICAL </t>
  </si>
  <si>
    <t>FLANKING</t>
  </si>
  <si>
    <t>SUPPLY ROUTE SHIFTED</t>
  </si>
  <si>
    <t>All Units in Suppy Lines Attackers box to Reserve</t>
  </si>
  <si>
    <t>CAVALRY DESERTION</t>
  </si>
  <si>
    <t>Remove one Wahhabi Khayala Unit</t>
  </si>
  <si>
    <t>Cavalry Dispersed</t>
  </si>
  <si>
    <t>Return 2 Cavalry Units from Western Front to Siege Camp</t>
  </si>
  <si>
    <t>Ammunition Shortage</t>
  </si>
  <si>
    <t>Return 2 Artillery Units to Siege Camp</t>
  </si>
  <si>
    <t>Flip All Ottoman Artillery Units to Disrupted (SAUDI INITIATIVE)</t>
  </si>
  <si>
    <t xml:space="preserve">Remove 2 Ottoman Artillery Units  </t>
  </si>
  <si>
    <t>Artillery Attrition</t>
  </si>
  <si>
    <t xml:space="preserve">Remove 2 Ottoman Cavalry Units  </t>
  </si>
  <si>
    <t>ARTILLERY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</si>
</sst>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i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1A09"/>
        <bgColor indexed="64"/>
      </patternFill>
    </fill>
    <fill>
      <patternFill patternType="solid">
        <fgColor rgb="FF3006CA"/>
        <bgColor indexed="64"/>
      </patternFill>
    </fill>
    <fill>
      <patternFill patternType="solid">
        <fgColor rgb="FFF4D8D8"/>
        <bgColor indexed="64"/>
      </patternFill>
    </fill>
    <fill>
      <patternFill patternType="solid">
        <fgColor rgb="FFF4D8D8"/>
        <bgColor theme="4" tint="0.59996337778862885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theme="4" tint="0.59996337778862885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14" xfId="0" applyFont="1" applyBorder="1"/>
    <xf numFmtId="0" fontId="1" fillId="0" borderId="16" xfId="0" applyFont="1" applyBorder="1"/>
    <xf numFmtId="0" fontId="0" fillId="0" borderId="14" xfId="0" applyBorder="1"/>
    <xf numFmtId="0" fontId="0" fillId="0" borderId="10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8" xfId="0" applyFont="1" applyBorder="1"/>
    <xf numFmtId="0" fontId="1" fillId="0" borderId="9" xfId="0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49" fontId="3" fillId="5" borderId="15" xfId="0" applyNumberFormat="1" applyFont="1" applyFill="1" applyBorder="1" applyAlignment="1">
      <alignment horizontal="center"/>
    </xf>
    <xf numFmtId="0" fontId="4" fillId="5" borderId="13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49" fontId="3" fillId="5" borderId="12" xfId="0" applyNumberFormat="1" applyFont="1" applyFill="1" applyBorder="1" applyAlignment="1">
      <alignment horizontal="center"/>
    </xf>
    <xf numFmtId="0" fontId="4" fillId="5" borderId="3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center"/>
    </xf>
    <xf numFmtId="0" fontId="4" fillId="6" borderId="3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7" borderId="13" xfId="0" applyFont="1" applyFill="1" applyBorder="1"/>
    <xf numFmtId="0" fontId="3" fillId="7" borderId="15" xfId="0" applyFont="1" applyFill="1" applyBorder="1" applyAlignment="1">
      <alignment horizontal="center"/>
    </xf>
    <xf numFmtId="0" fontId="4" fillId="7" borderId="3" xfId="0" applyFont="1" applyFill="1" applyBorder="1"/>
    <xf numFmtId="0" fontId="3" fillId="7" borderId="12" xfId="0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8" borderId="3" xfId="0" applyFont="1" applyFill="1" applyBorder="1"/>
    <xf numFmtId="0" fontId="3" fillId="8" borderId="2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49" fontId="3" fillId="8" borderId="3" xfId="0" applyNumberFormat="1" applyFont="1" applyFill="1" applyBorder="1" applyAlignment="1">
      <alignment horizontal="center"/>
    </xf>
    <xf numFmtId="0" fontId="4" fillId="8" borderId="21" xfId="0" applyFont="1" applyFill="1" applyBorder="1"/>
    <xf numFmtId="0" fontId="4" fillId="8" borderId="22" xfId="0" applyFont="1" applyFill="1" applyBorder="1"/>
    <xf numFmtId="0" fontId="3" fillId="8" borderId="22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49" fontId="3" fillId="7" borderId="23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49" fontId="5" fillId="7" borderId="3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/>
    <xf numFmtId="1" fontId="3" fillId="7" borderId="15" xfId="0" applyNumberFormat="1" applyFont="1" applyFill="1" applyBorder="1" applyAlignment="1">
      <alignment horizontal="center"/>
    </xf>
    <xf numFmtId="1" fontId="3" fillId="7" borderId="12" xfId="0" applyNumberFormat="1" applyFont="1" applyFill="1" applyBorder="1" applyAlignment="1">
      <alignment horizontal="center"/>
    </xf>
    <xf numFmtId="1" fontId="3" fillId="8" borderId="12" xfId="0" applyNumberFormat="1" applyFont="1" applyFill="1" applyBorder="1" applyAlignment="1">
      <alignment horizontal="center"/>
    </xf>
    <xf numFmtId="1" fontId="3" fillId="8" borderId="21" xfId="0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49" fontId="3" fillId="6" borderId="28" xfId="0" applyNumberFormat="1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" fontId="3" fillId="5" borderId="31" xfId="0" applyNumberFormat="1" applyFont="1" applyFill="1" applyBorder="1" applyAlignment="1">
      <alignment horizontal="center"/>
    </xf>
    <xf numFmtId="49" fontId="3" fillId="5" borderId="29" xfId="0" applyNumberFormat="1" applyFont="1" applyFill="1" applyBorder="1" applyAlignment="1">
      <alignment horizontal="center"/>
    </xf>
    <xf numFmtId="0" fontId="4" fillId="5" borderId="34" xfId="0" applyFont="1" applyFill="1" applyBorder="1"/>
    <xf numFmtId="0" fontId="3" fillId="6" borderId="34" xfId="0" applyFont="1" applyFill="1" applyBorder="1" applyAlignment="1">
      <alignment horizontal="center"/>
    </xf>
    <xf numFmtId="49" fontId="3" fillId="5" borderId="34" xfId="0" applyNumberFormat="1" applyFont="1" applyFill="1" applyBorder="1" applyAlignment="1">
      <alignment horizontal="center"/>
    </xf>
    <xf numFmtId="0" fontId="4" fillId="5" borderId="20" xfId="0" applyFont="1" applyFill="1" applyBorder="1"/>
    <xf numFmtId="49" fontId="3" fillId="5" borderId="9" xfId="0" applyNumberFormat="1" applyFont="1" applyFill="1" applyBorder="1" applyAlignment="1">
      <alignment horizontal="center"/>
    </xf>
    <xf numFmtId="0" fontId="3" fillId="5" borderId="0" xfId="0" applyFont="1" applyFill="1"/>
    <xf numFmtId="0" fontId="4" fillId="5" borderId="8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4" fillId="5" borderId="19" xfId="0" applyFont="1" applyFill="1" applyBorder="1"/>
    <xf numFmtId="0" fontId="4" fillId="5" borderId="11" xfId="0" applyFont="1" applyFill="1" applyBorder="1"/>
    <xf numFmtId="0" fontId="4" fillId="6" borderId="2" xfId="0" applyFont="1" applyFill="1" applyBorder="1" applyAlignment="1">
      <alignment horizontal="left"/>
    </xf>
    <xf numFmtId="0" fontId="4" fillId="5" borderId="11" xfId="0" quotePrefix="1" applyFont="1" applyFill="1" applyBorder="1"/>
    <xf numFmtId="0" fontId="4" fillId="6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left"/>
    </xf>
    <xf numFmtId="0" fontId="4" fillId="6" borderId="2" xfId="0" quotePrefix="1" applyFont="1" applyFill="1" applyBorder="1" applyAlignment="1">
      <alignment horizontal="left"/>
    </xf>
    <xf numFmtId="0" fontId="7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" fontId="3" fillId="5" borderId="10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8" fillId="8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4D8D8"/>
      <color rgb="FFFF9999"/>
      <color rgb="FF3006CA"/>
      <color rgb="FFBF1A09"/>
      <color rgb="FF008000"/>
      <color rgb="FFFFFF9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showGridLines="0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3" sqref="D13"/>
    </sheetView>
  </sheetViews>
  <sheetFormatPr defaultRowHeight="14.5" x14ac:dyDescent="0.35"/>
  <cols>
    <col min="1" max="1" width="4.1796875" customWidth="1"/>
    <col min="2" max="2" width="15.453125" bestFit="1" customWidth="1"/>
    <col min="3" max="3" width="52.81640625" bestFit="1" customWidth="1"/>
    <col min="4" max="4" width="77.08984375" bestFit="1" customWidth="1"/>
    <col min="5" max="5" width="11.36328125" bestFit="1" customWidth="1"/>
    <col min="6" max="6" width="19.36328125" bestFit="1" customWidth="1"/>
    <col min="7" max="7" width="12.81640625" bestFit="1" customWidth="1"/>
    <col min="8" max="8" width="15" bestFit="1" customWidth="1"/>
    <col min="9" max="9" width="19.453125" bestFit="1" customWidth="1"/>
    <col min="10" max="10" width="36.90625" bestFit="1" customWidth="1"/>
    <col min="12" max="12" width="19.1796875" bestFit="1" customWidth="1"/>
    <col min="13" max="13" width="26.08984375" bestFit="1" customWidth="1"/>
  </cols>
  <sheetData>
    <row r="1" spans="1:13" ht="19.5" thickTop="1" thickBot="1" x14ac:dyDescent="0.5">
      <c r="B1" s="4" t="s">
        <v>0</v>
      </c>
      <c r="C1" s="14" t="s">
        <v>1</v>
      </c>
      <c r="D1" s="12" t="s">
        <v>30</v>
      </c>
      <c r="E1" s="2"/>
      <c r="F1" s="5" t="s">
        <v>28</v>
      </c>
      <c r="G1" s="3"/>
      <c r="H1" s="5" t="s">
        <v>178</v>
      </c>
      <c r="I1" s="107" t="s">
        <v>179</v>
      </c>
      <c r="J1" s="12" t="s">
        <v>134</v>
      </c>
      <c r="K1" s="2" t="s">
        <v>29</v>
      </c>
      <c r="L1" s="7" t="s">
        <v>37</v>
      </c>
      <c r="M1" s="18" t="s">
        <v>34</v>
      </c>
    </row>
    <row r="2" spans="1:13" ht="19.5" thickTop="1" thickBot="1" x14ac:dyDescent="0.5">
      <c r="B2" s="8"/>
      <c r="C2" s="9"/>
      <c r="D2" s="9"/>
      <c r="E2" s="16" t="s">
        <v>31</v>
      </c>
      <c r="F2" s="17" t="s">
        <v>32</v>
      </c>
      <c r="G2" s="15" t="s">
        <v>33</v>
      </c>
      <c r="H2" s="16" t="s">
        <v>31</v>
      </c>
      <c r="I2" s="17" t="s">
        <v>32</v>
      </c>
      <c r="J2" s="13"/>
      <c r="K2" s="10"/>
      <c r="L2" s="11" t="s">
        <v>35</v>
      </c>
      <c r="M2" s="11" t="s">
        <v>36</v>
      </c>
    </row>
    <row r="3" spans="1:13" ht="20" customHeight="1" thickTop="1" x14ac:dyDescent="0.45">
      <c r="A3" t="s">
        <v>6</v>
      </c>
      <c r="B3" s="19">
        <v>1</v>
      </c>
      <c r="C3" s="20" t="s">
        <v>152</v>
      </c>
      <c r="D3" s="88" t="s">
        <v>121</v>
      </c>
      <c r="E3" s="98" t="s">
        <v>6</v>
      </c>
      <c r="F3" s="65" t="s">
        <v>6</v>
      </c>
      <c r="G3" s="86" t="s">
        <v>125</v>
      </c>
      <c r="H3" s="87" t="s">
        <v>6</v>
      </c>
      <c r="I3" s="21" t="s">
        <v>6</v>
      </c>
      <c r="J3" s="60"/>
      <c r="K3" s="22" t="s">
        <v>38</v>
      </c>
      <c r="L3" s="65">
        <v>1</v>
      </c>
      <c r="M3" s="65">
        <v>1</v>
      </c>
    </row>
    <row r="4" spans="1:13" ht="20" customHeight="1" x14ac:dyDescent="0.45">
      <c r="B4" s="23">
        <v>2</v>
      </c>
      <c r="C4" s="24" t="s">
        <v>153</v>
      </c>
      <c r="D4" s="89" t="s">
        <v>124</v>
      </c>
      <c r="E4" s="26" t="s">
        <v>125</v>
      </c>
      <c r="F4" s="64" t="s">
        <v>125</v>
      </c>
      <c r="G4" s="67" t="s">
        <v>125</v>
      </c>
      <c r="H4" s="68"/>
      <c r="I4" s="25"/>
      <c r="J4" s="28" t="s">
        <v>6</v>
      </c>
      <c r="K4" s="26" t="s">
        <v>122</v>
      </c>
      <c r="L4" s="62" t="s">
        <v>6</v>
      </c>
      <c r="M4" s="27" t="s">
        <v>168</v>
      </c>
    </row>
    <row r="5" spans="1:13" ht="20" customHeight="1" x14ac:dyDescent="0.45">
      <c r="B5" s="23">
        <v>3</v>
      </c>
      <c r="C5" s="24" t="s">
        <v>153</v>
      </c>
      <c r="D5" s="89" t="s">
        <v>124</v>
      </c>
      <c r="E5" s="26" t="s">
        <v>125</v>
      </c>
      <c r="F5" s="64" t="s">
        <v>125</v>
      </c>
      <c r="G5" s="67" t="s">
        <v>125</v>
      </c>
      <c r="H5" s="68"/>
      <c r="I5" s="25"/>
      <c r="J5" s="28" t="s">
        <v>6</v>
      </c>
      <c r="K5" s="26" t="s">
        <v>123</v>
      </c>
      <c r="L5" s="62" t="s">
        <v>6</v>
      </c>
      <c r="M5" s="27" t="s">
        <v>169</v>
      </c>
    </row>
    <row r="6" spans="1:13" ht="20" customHeight="1" x14ac:dyDescent="0.45">
      <c r="B6" s="23">
        <v>4</v>
      </c>
      <c r="C6" s="24" t="s">
        <v>153</v>
      </c>
      <c r="D6" s="89" t="s">
        <v>124</v>
      </c>
      <c r="E6" s="26" t="s">
        <v>125</v>
      </c>
      <c r="F6" s="64" t="s">
        <v>125</v>
      </c>
      <c r="G6" s="67" t="s">
        <v>125</v>
      </c>
      <c r="H6" s="68" t="s">
        <v>6</v>
      </c>
      <c r="I6" s="25" t="s">
        <v>6</v>
      </c>
      <c r="J6" s="28"/>
      <c r="K6" s="26" t="s">
        <v>38</v>
      </c>
      <c r="L6" s="62"/>
      <c r="M6" s="27" t="s">
        <v>170</v>
      </c>
    </row>
    <row r="7" spans="1:13" ht="20" customHeight="1" x14ac:dyDescent="0.45">
      <c r="B7" s="23">
        <v>5</v>
      </c>
      <c r="C7" s="24" t="s">
        <v>154</v>
      </c>
      <c r="D7" s="89" t="s">
        <v>174</v>
      </c>
      <c r="E7" s="26" t="s">
        <v>125</v>
      </c>
      <c r="F7" s="64" t="s">
        <v>125</v>
      </c>
      <c r="G7" s="67"/>
      <c r="H7" s="68" t="s">
        <v>6</v>
      </c>
      <c r="I7" s="25" t="s">
        <v>6</v>
      </c>
      <c r="J7" s="28" t="s">
        <v>6</v>
      </c>
      <c r="K7" s="26"/>
      <c r="L7" s="64">
        <v>2</v>
      </c>
      <c r="M7" s="27"/>
    </row>
    <row r="8" spans="1:13" ht="20" customHeight="1" x14ac:dyDescent="0.45">
      <c r="B8" s="23" t="s">
        <v>2</v>
      </c>
      <c r="C8" s="24" t="s">
        <v>154</v>
      </c>
      <c r="D8" s="89" t="s">
        <v>175</v>
      </c>
      <c r="E8" s="26"/>
      <c r="F8" s="64"/>
      <c r="G8" s="67" t="s">
        <v>125</v>
      </c>
      <c r="H8" s="68"/>
      <c r="I8" s="25"/>
      <c r="J8" s="28"/>
      <c r="K8" s="26"/>
      <c r="L8" s="64">
        <v>1</v>
      </c>
      <c r="M8" s="27"/>
    </row>
    <row r="9" spans="1:13" ht="20" customHeight="1" x14ac:dyDescent="0.45">
      <c r="B9" s="23" t="s">
        <v>3</v>
      </c>
      <c r="C9" s="24" t="s">
        <v>176</v>
      </c>
      <c r="D9" s="89" t="s">
        <v>177</v>
      </c>
      <c r="E9" s="26" t="s">
        <v>125</v>
      </c>
      <c r="F9" s="64" t="s">
        <v>6</v>
      </c>
      <c r="G9" s="67"/>
      <c r="H9" s="68" t="s">
        <v>6</v>
      </c>
      <c r="I9" s="25" t="s">
        <v>6</v>
      </c>
      <c r="J9" s="28" t="s">
        <v>6</v>
      </c>
      <c r="K9" s="26"/>
      <c r="L9" s="62"/>
      <c r="M9" s="27"/>
    </row>
    <row r="10" spans="1:13" ht="20" customHeight="1" x14ac:dyDescent="0.45">
      <c r="B10" s="23" t="s">
        <v>4</v>
      </c>
      <c r="C10" s="24" t="s">
        <v>176</v>
      </c>
      <c r="D10" s="89" t="s">
        <v>177</v>
      </c>
      <c r="E10" s="26" t="s">
        <v>6</v>
      </c>
      <c r="F10" s="64" t="s">
        <v>125</v>
      </c>
      <c r="G10" s="67"/>
      <c r="H10" s="68" t="s">
        <v>6</v>
      </c>
      <c r="I10" s="25" t="s">
        <v>6</v>
      </c>
      <c r="J10" s="28" t="s">
        <v>6</v>
      </c>
      <c r="K10" s="26"/>
      <c r="L10" s="62"/>
      <c r="M10" s="27"/>
    </row>
    <row r="11" spans="1:13" ht="20" customHeight="1" x14ac:dyDescent="0.45">
      <c r="B11" s="23" t="s">
        <v>5</v>
      </c>
      <c r="C11" s="24" t="s">
        <v>155</v>
      </c>
      <c r="D11" s="89" t="s">
        <v>126</v>
      </c>
      <c r="E11" s="26"/>
      <c r="F11" s="64"/>
      <c r="G11" s="67" t="s">
        <v>125</v>
      </c>
      <c r="H11" s="68"/>
      <c r="I11" s="25"/>
      <c r="J11" s="28" t="s">
        <v>166</v>
      </c>
      <c r="K11" s="26"/>
      <c r="L11" s="62"/>
      <c r="M11" s="27"/>
    </row>
    <row r="12" spans="1:13" ht="20" customHeight="1" x14ac:dyDescent="0.45">
      <c r="B12" s="23" t="s">
        <v>7</v>
      </c>
      <c r="C12" s="84" t="s">
        <v>143</v>
      </c>
      <c r="D12" s="90" t="s">
        <v>140</v>
      </c>
      <c r="E12" s="26"/>
      <c r="F12" s="64" t="s">
        <v>125</v>
      </c>
      <c r="G12" s="67" t="s">
        <v>6</v>
      </c>
      <c r="H12" s="68"/>
      <c r="I12" s="25" t="s">
        <v>146</v>
      </c>
      <c r="J12" s="28" t="s">
        <v>6</v>
      </c>
      <c r="K12" s="26" t="s">
        <v>122</v>
      </c>
      <c r="L12" s="62"/>
      <c r="M12" s="27"/>
    </row>
    <row r="13" spans="1:13" ht="20" customHeight="1" x14ac:dyDescent="0.5">
      <c r="B13" s="23" t="s">
        <v>8</v>
      </c>
      <c r="C13" s="24" t="s">
        <v>180</v>
      </c>
      <c r="D13" s="89" t="s">
        <v>181</v>
      </c>
      <c r="E13" s="26" t="s">
        <v>6</v>
      </c>
      <c r="F13" s="95" t="s">
        <v>141</v>
      </c>
      <c r="G13" s="67"/>
      <c r="H13" s="68" t="s">
        <v>6</v>
      </c>
      <c r="I13" s="25" t="s">
        <v>6</v>
      </c>
      <c r="J13" s="28" t="s">
        <v>6</v>
      </c>
      <c r="K13" s="26"/>
      <c r="L13" s="62"/>
      <c r="M13" s="27"/>
    </row>
    <row r="14" spans="1:13" ht="20" customHeight="1" x14ac:dyDescent="0.5">
      <c r="B14" s="23" t="s">
        <v>9</v>
      </c>
      <c r="C14" s="24" t="s">
        <v>182</v>
      </c>
      <c r="D14" s="89" t="s">
        <v>183</v>
      </c>
      <c r="E14" s="26" t="s">
        <v>6</v>
      </c>
      <c r="F14" s="95" t="s">
        <v>142</v>
      </c>
      <c r="G14" s="67"/>
      <c r="H14" s="68" t="s">
        <v>6</v>
      </c>
      <c r="I14" s="25" t="s">
        <v>6</v>
      </c>
      <c r="J14" s="28" t="s">
        <v>6</v>
      </c>
      <c r="K14" s="26"/>
      <c r="L14" s="62"/>
      <c r="M14" s="27"/>
    </row>
    <row r="15" spans="1:13" ht="20" customHeight="1" x14ac:dyDescent="0.45">
      <c r="B15" s="23" t="s">
        <v>10</v>
      </c>
      <c r="C15" s="24" t="s">
        <v>34</v>
      </c>
      <c r="D15" s="89" t="s">
        <v>127</v>
      </c>
      <c r="E15" s="26"/>
      <c r="F15" s="64"/>
      <c r="G15" s="67" t="s">
        <v>125</v>
      </c>
      <c r="H15" s="68"/>
      <c r="I15" s="25"/>
      <c r="J15" s="28"/>
      <c r="K15" s="26"/>
      <c r="L15" s="66" t="s">
        <v>133</v>
      </c>
      <c r="M15" s="66" t="s">
        <v>133</v>
      </c>
    </row>
    <row r="16" spans="1:13" ht="20" customHeight="1" x14ac:dyDescent="0.45">
      <c r="B16" s="23" t="s">
        <v>13</v>
      </c>
      <c r="C16" s="24" t="s">
        <v>165</v>
      </c>
      <c r="D16" s="89" t="s">
        <v>127</v>
      </c>
      <c r="E16" s="26"/>
      <c r="F16" s="64"/>
      <c r="G16" s="67" t="s">
        <v>6</v>
      </c>
      <c r="H16" s="68"/>
      <c r="I16" s="25"/>
      <c r="J16" s="28"/>
      <c r="K16" s="26"/>
      <c r="L16" s="66" t="s">
        <v>133</v>
      </c>
      <c r="M16" s="66" t="s">
        <v>133</v>
      </c>
    </row>
    <row r="17" spans="2:13" ht="20" customHeight="1" x14ac:dyDescent="0.45">
      <c r="B17" s="23" t="s">
        <v>11</v>
      </c>
      <c r="C17" s="24" t="s">
        <v>192</v>
      </c>
      <c r="D17" s="89" t="s">
        <v>130</v>
      </c>
      <c r="E17" s="26" t="s">
        <v>125</v>
      </c>
      <c r="F17" s="64" t="s">
        <v>125</v>
      </c>
      <c r="G17" s="67"/>
      <c r="H17" s="68"/>
      <c r="I17" s="25"/>
      <c r="J17" s="28" t="s">
        <v>167</v>
      </c>
      <c r="K17" s="26"/>
      <c r="L17" s="62"/>
      <c r="M17" s="27"/>
    </row>
    <row r="18" spans="2:13" ht="20" customHeight="1" x14ac:dyDescent="0.45">
      <c r="B18" s="23" t="s">
        <v>12</v>
      </c>
      <c r="C18" s="24" t="s">
        <v>156</v>
      </c>
      <c r="D18" s="89" t="s">
        <v>139</v>
      </c>
      <c r="E18" s="26"/>
      <c r="F18" s="64"/>
      <c r="G18" s="67"/>
      <c r="H18" s="68"/>
      <c r="I18" s="25"/>
      <c r="J18" s="71" t="s">
        <v>135</v>
      </c>
      <c r="K18" s="26"/>
      <c r="L18" s="62"/>
      <c r="M18" s="27"/>
    </row>
    <row r="19" spans="2:13" ht="20" customHeight="1" x14ac:dyDescent="0.45">
      <c r="B19" s="23" t="s">
        <v>14</v>
      </c>
      <c r="C19" s="24" t="s">
        <v>157</v>
      </c>
      <c r="D19" s="91" t="s">
        <v>128</v>
      </c>
      <c r="E19" s="26" t="s">
        <v>125</v>
      </c>
      <c r="F19" s="64" t="s">
        <v>125</v>
      </c>
      <c r="G19" s="67"/>
      <c r="H19" s="68"/>
      <c r="I19" s="25"/>
      <c r="J19" s="28" t="s">
        <v>6</v>
      </c>
      <c r="K19" s="26"/>
      <c r="L19" s="62"/>
      <c r="M19" s="27"/>
    </row>
    <row r="20" spans="2:13" ht="20" customHeight="1" x14ac:dyDescent="0.45">
      <c r="B20" s="23" t="s">
        <v>15</v>
      </c>
      <c r="C20" s="24" t="s">
        <v>158</v>
      </c>
      <c r="D20" s="89" t="s">
        <v>129</v>
      </c>
      <c r="E20" s="26" t="s">
        <v>125</v>
      </c>
      <c r="F20" s="64" t="s">
        <v>125</v>
      </c>
      <c r="G20" s="67"/>
      <c r="H20" s="68" t="s">
        <v>6</v>
      </c>
      <c r="I20" s="25" t="s">
        <v>6</v>
      </c>
      <c r="J20" s="28"/>
      <c r="K20" s="26"/>
      <c r="L20" s="62"/>
      <c r="M20" s="27"/>
    </row>
    <row r="21" spans="2:13" ht="20" customHeight="1" x14ac:dyDescent="0.45">
      <c r="B21" s="23" t="s">
        <v>16</v>
      </c>
      <c r="C21" s="24" t="s">
        <v>159</v>
      </c>
      <c r="D21" s="89" t="s">
        <v>130</v>
      </c>
      <c r="E21" s="26"/>
      <c r="F21" s="64" t="s">
        <v>125</v>
      </c>
      <c r="G21" s="67"/>
      <c r="H21" s="68"/>
      <c r="I21" s="25" t="s">
        <v>6</v>
      </c>
      <c r="J21" s="28"/>
      <c r="K21" s="26"/>
      <c r="L21" s="62"/>
      <c r="M21" s="27"/>
    </row>
    <row r="22" spans="2:13" ht="20" customHeight="1" x14ac:dyDescent="0.45">
      <c r="B22" s="23" t="s">
        <v>17</v>
      </c>
      <c r="C22" s="24" t="s">
        <v>160</v>
      </c>
      <c r="D22" s="89" t="s">
        <v>131</v>
      </c>
      <c r="E22" s="26"/>
      <c r="F22" s="64" t="s">
        <v>125</v>
      </c>
      <c r="G22" s="67"/>
      <c r="H22" s="68"/>
      <c r="I22" s="25" t="s">
        <v>6</v>
      </c>
      <c r="J22" s="28"/>
      <c r="K22" s="26"/>
      <c r="L22" s="62"/>
      <c r="M22" s="27"/>
    </row>
    <row r="23" spans="2:13" ht="20" customHeight="1" x14ac:dyDescent="0.45">
      <c r="B23" s="23" t="s">
        <v>19</v>
      </c>
      <c r="C23" s="24" t="s">
        <v>161</v>
      </c>
      <c r="D23" s="89" t="s">
        <v>132</v>
      </c>
      <c r="E23" s="26" t="s">
        <v>125</v>
      </c>
      <c r="F23" s="64"/>
      <c r="G23" s="67"/>
      <c r="H23" s="68" t="s">
        <v>6</v>
      </c>
      <c r="I23" s="25"/>
      <c r="J23" s="28"/>
      <c r="K23" s="26" t="s">
        <v>123</v>
      </c>
      <c r="L23" s="62"/>
      <c r="M23" s="27"/>
    </row>
    <row r="24" spans="2:13" ht="20" customHeight="1" x14ac:dyDescent="0.5">
      <c r="B24" s="23" t="s">
        <v>18</v>
      </c>
      <c r="C24" s="24" t="s">
        <v>144</v>
      </c>
      <c r="D24" s="92" t="s">
        <v>171</v>
      </c>
      <c r="E24" s="26" t="s">
        <v>125</v>
      </c>
      <c r="F24" s="95" t="s">
        <v>6</v>
      </c>
      <c r="G24" s="67" t="s">
        <v>6</v>
      </c>
      <c r="H24" s="68" t="s">
        <v>146</v>
      </c>
      <c r="I24" s="25" t="s">
        <v>6</v>
      </c>
      <c r="J24" s="28"/>
      <c r="K24" s="26" t="s">
        <v>123</v>
      </c>
      <c r="L24" s="62"/>
      <c r="M24" s="27"/>
    </row>
    <row r="25" spans="2:13" ht="20" customHeight="1" x14ac:dyDescent="0.45">
      <c r="B25" s="23" t="s">
        <v>20</v>
      </c>
      <c r="C25" s="24" t="s">
        <v>162</v>
      </c>
      <c r="D25" s="91" t="s">
        <v>145</v>
      </c>
      <c r="E25" s="26"/>
      <c r="F25" s="64"/>
      <c r="G25" s="67" t="s">
        <v>125</v>
      </c>
      <c r="H25" s="68"/>
      <c r="I25" s="25"/>
      <c r="J25" s="28"/>
      <c r="K25" s="26"/>
      <c r="L25" s="62"/>
      <c r="M25" s="27"/>
    </row>
    <row r="26" spans="2:13" ht="20" customHeight="1" x14ac:dyDescent="0.45">
      <c r="B26" s="23" t="s">
        <v>21</v>
      </c>
      <c r="C26" s="24" t="s">
        <v>163</v>
      </c>
      <c r="D26" s="93" t="s">
        <v>136</v>
      </c>
      <c r="E26" s="26" t="s">
        <v>125</v>
      </c>
      <c r="F26" s="64" t="s">
        <v>125</v>
      </c>
      <c r="G26" s="67"/>
      <c r="H26" s="68"/>
      <c r="I26" s="25"/>
      <c r="J26" s="28"/>
      <c r="K26" s="26" t="s">
        <v>122</v>
      </c>
      <c r="L26" s="62"/>
      <c r="M26" s="27"/>
    </row>
    <row r="27" spans="2:13" ht="20" customHeight="1" x14ac:dyDescent="0.45">
      <c r="B27" s="29" t="s">
        <v>22</v>
      </c>
      <c r="C27" s="24" t="s">
        <v>163</v>
      </c>
      <c r="D27" s="89" t="s">
        <v>136</v>
      </c>
      <c r="E27" s="26" t="s">
        <v>125</v>
      </c>
      <c r="F27" s="64" t="s">
        <v>125</v>
      </c>
      <c r="G27" s="67"/>
      <c r="H27" s="68"/>
      <c r="I27" s="25"/>
      <c r="J27" s="28"/>
      <c r="K27" s="26" t="s">
        <v>122</v>
      </c>
      <c r="L27" s="62"/>
      <c r="M27" s="27"/>
    </row>
    <row r="28" spans="2:13" ht="20" customHeight="1" x14ac:dyDescent="0.45">
      <c r="B28" s="29" t="s">
        <v>23</v>
      </c>
      <c r="C28" s="24" t="s">
        <v>163</v>
      </c>
      <c r="D28" s="89" t="s">
        <v>136</v>
      </c>
      <c r="E28" s="26" t="s">
        <v>125</v>
      </c>
      <c r="F28" s="64" t="s">
        <v>125</v>
      </c>
      <c r="G28" s="67"/>
      <c r="H28" s="68"/>
      <c r="I28" s="25"/>
      <c r="J28" s="28"/>
      <c r="K28" s="26" t="s">
        <v>123</v>
      </c>
      <c r="L28" s="62"/>
      <c r="M28" s="27"/>
    </row>
    <row r="29" spans="2:13" ht="20" customHeight="1" x14ac:dyDescent="0.45">
      <c r="B29" s="29" t="s">
        <v>25</v>
      </c>
      <c r="C29" s="24" t="s">
        <v>157</v>
      </c>
      <c r="D29" s="91" t="s">
        <v>128</v>
      </c>
      <c r="E29" s="33" t="s">
        <v>125</v>
      </c>
      <c r="F29" s="96" t="s">
        <v>125</v>
      </c>
      <c r="G29" s="32" t="s">
        <v>6</v>
      </c>
      <c r="H29" s="72" t="s">
        <v>6</v>
      </c>
      <c r="I29" s="25" t="s">
        <v>6</v>
      </c>
      <c r="J29" s="70"/>
      <c r="K29" s="33"/>
      <c r="L29" s="63"/>
      <c r="M29" s="34"/>
    </row>
    <row r="30" spans="2:13" ht="20" customHeight="1" x14ac:dyDescent="0.45">
      <c r="B30" s="29" t="s">
        <v>24</v>
      </c>
      <c r="C30" s="30" t="s">
        <v>164</v>
      </c>
      <c r="D30" s="91" t="s">
        <v>173</v>
      </c>
      <c r="E30" s="33"/>
      <c r="F30" s="96"/>
      <c r="G30" s="67" t="s">
        <v>125</v>
      </c>
      <c r="H30" s="68" t="s">
        <v>6</v>
      </c>
      <c r="I30" s="31"/>
      <c r="J30" s="70"/>
      <c r="K30" s="33"/>
      <c r="L30" s="62"/>
      <c r="M30" s="27"/>
    </row>
    <row r="31" spans="2:13" ht="20" customHeight="1" x14ac:dyDescent="0.45">
      <c r="B31" s="29" t="s">
        <v>26</v>
      </c>
      <c r="C31" s="24" t="s">
        <v>144</v>
      </c>
      <c r="D31" s="92" t="s">
        <v>172</v>
      </c>
      <c r="E31" s="33"/>
      <c r="F31" s="64" t="s">
        <v>147</v>
      </c>
      <c r="G31" s="32"/>
      <c r="H31" s="69"/>
      <c r="I31" s="31" t="s">
        <v>146</v>
      </c>
      <c r="J31" s="70"/>
      <c r="K31" s="33" t="s">
        <v>122</v>
      </c>
      <c r="L31" s="62"/>
      <c r="M31" s="27"/>
    </row>
    <row r="32" spans="2:13" ht="20" customHeight="1" thickBot="1" x14ac:dyDescent="0.5">
      <c r="B32" s="73" t="s">
        <v>27</v>
      </c>
      <c r="C32" s="82" t="s">
        <v>150</v>
      </c>
      <c r="D32" s="94" t="s">
        <v>151</v>
      </c>
      <c r="E32" s="99" t="s">
        <v>125</v>
      </c>
      <c r="F32" s="97"/>
      <c r="G32" s="100"/>
      <c r="H32" s="96" t="s">
        <v>146</v>
      </c>
      <c r="I32" s="74"/>
      <c r="J32" s="75"/>
      <c r="K32" s="76" t="s">
        <v>123</v>
      </c>
      <c r="L32" s="77"/>
      <c r="M32" s="78"/>
    </row>
    <row r="33" spans="2:13" ht="19.5" thickTop="1" thickBot="1" x14ac:dyDescent="0.5">
      <c r="B33" s="85" t="s">
        <v>138</v>
      </c>
      <c r="C33" s="79"/>
      <c r="D33" s="101"/>
      <c r="E33" s="104">
        <f>COUNTIF(E3:E32, "Y")</f>
        <v>15</v>
      </c>
      <c r="F33" s="80">
        <f>COUNTIF(F3:F32, "Y")</f>
        <v>15</v>
      </c>
      <c r="G33" s="105">
        <f>COUNTIF(G3:G32, "Y")</f>
        <v>9</v>
      </c>
      <c r="H33" s="102" t="s">
        <v>148</v>
      </c>
      <c r="I33" s="80" t="s">
        <v>149</v>
      </c>
      <c r="J33" s="103" t="s">
        <v>6</v>
      </c>
      <c r="K33" s="106">
        <f>COUNTA(K3:K32)</f>
        <v>12</v>
      </c>
      <c r="L33" s="81"/>
      <c r="M33" s="83"/>
    </row>
    <row r="34" spans="2:13" ht="19" thickTop="1" x14ac:dyDescent="0.45">
      <c r="B34" s="1"/>
      <c r="E34" s="61"/>
      <c r="F34" s="61"/>
      <c r="G34" s="61"/>
      <c r="H34" s="61"/>
      <c r="I34" s="6"/>
    </row>
    <row r="35" spans="2:13" ht="18.5" x14ac:dyDescent="0.45">
      <c r="E35" s="61"/>
      <c r="F35" s="61"/>
      <c r="G35" s="61"/>
      <c r="H35" s="6"/>
      <c r="I35" s="6"/>
    </row>
    <row r="36" spans="2:13" ht="18.5" x14ac:dyDescent="0.45">
      <c r="E36" s="55"/>
      <c r="F36" s="55"/>
      <c r="G36" s="55"/>
    </row>
    <row r="37" spans="2:13" ht="18.5" x14ac:dyDescent="0.45">
      <c r="E37" s="55"/>
      <c r="F37" s="55"/>
      <c r="G37" s="55"/>
    </row>
    <row r="38" spans="2:13" ht="18.5" x14ac:dyDescent="0.45">
      <c r="E38" s="55"/>
      <c r="F38" s="55"/>
      <c r="G38" s="55"/>
    </row>
    <row r="39" spans="2:13" ht="18.5" x14ac:dyDescent="0.45">
      <c r="E39" s="55"/>
      <c r="F39" s="55"/>
      <c r="G39" s="55"/>
    </row>
    <row r="40" spans="2:13" ht="18.5" x14ac:dyDescent="0.45">
      <c r="E40" s="55"/>
      <c r="F40" s="55"/>
      <c r="G40" s="55"/>
    </row>
    <row r="41" spans="2:13" ht="18.5" x14ac:dyDescent="0.45">
      <c r="E41" s="55"/>
      <c r="F41" s="55"/>
      <c r="G41" s="55"/>
    </row>
  </sheetData>
  <printOptions horizontalCentered="1" verticalCentered="1" gridLines="1"/>
  <pageMargins left="0" right="0" top="0" bottom="0" header="0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4"/>
  <sheetViews>
    <sheetView topLeftCell="A9" zoomScaleNormal="100" workbookViewId="0">
      <selection activeCell="C28" sqref="C28"/>
    </sheetView>
  </sheetViews>
  <sheetFormatPr defaultRowHeight="14.5" x14ac:dyDescent="0.35"/>
  <cols>
    <col min="2" max="2" width="15.1796875" bestFit="1" customWidth="1"/>
    <col min="3" max="3" width="31.08984375" bestFit="1" customWidth="1"/>
    <col min="4" max="4" width="66.81640625" bestFit="1" customWidth="1"/>
    <col min="5" max="5" width="12.81640625" bestFit="1" customWidth="1"/>
    <col min="6" max="6" width="19.90625" bestFit="1" customWidth="1"/>
    <col min="7" max="7" width="44.7265625" bestFit="1" customWidth="1"/>
  </cols>
  <sheetData>
    <row r="1" spans="2:7" ht="19.5" thickTop="1" thickBot="1" x14ac:dyDescent="0.5">
      <c r="B1" s="4" t="s">
        <v>0</v>
      </c>
      <c r="C1" s="14" t="s">
        <v>1</v>
      </c>
      <c r="D1" s="12" t="s">
        <v>30</v>
      </c>
      <c r="E1" s="15" t="s">
        <v>39</v>
      </c>
      <c r="F1" s="2" t="s">
        <v>40</v>
      </c>
      <c r="G1" s="18" t="s">
        <v>46</v>
      </c>
    </row>
    <row r="2" spans="2:7" ht="19.5" thickTop="1" thickBot="1" x14ac:dyDescent="0.5">
      <c r="B2" s="8"/>
      <c r="C2" s="9"/>
      <c r="D2" s="9"/>
      <c r="E2" s="35" t="s">
        <v>43</v>
      </c>
      <c r="F2" s="10"/>
      <c r="G2" s="54" t="s">
        <v>96</v>
      </c>
    </row>
    <row r="3" spans="2:7" ht="19" thickTop="1" x14ac:dyDescent="0.45">
      <c r="B3" s="56" t="s">
        <v>51</v>
      </c>
      <c r="C3" s="36" t="s">
        <v>41</v>
      </c>
      <c r="D3" s="36" t="s">
        <v>44</v>
      </c>
      <c r="E3" s="51">
        <v>2</v>
      </c>
      <c r="F3" s="37" t="s">
        <v>42</v>
      </c>
      <c r="G3" s="52" t="s">
        <v>47</v>
      </c>
    </row>
    <row r="4" spans="2:7" ht="18.5" x14ac:dyDescent="0.45">
      <c r="B4" s="57" t="s">
        <v>52</v>
      </c>
      <c r="C4" s="38" t="s">
        <v>49</v>
      </c>
      <c r="D4" s="38" t="s">
        <v>45</v>
      </c>
      <c r="E4" s="41">
        <v>3</v>
      </c>
      <c r="F4" s="39"/>
      <c r="G4" s="40" t="s">
        <v>48</v>
      </c>
    </row>
    <row r="5" spans="2:7" ht="18.5" x14ac:dyDescent="0.45">
      <c r="B5" s="57" t="s">
        <v>53</v>
      </c>
      <c r="C5" s="38" t="s">
        <v>49</v>
      </c>
      <c r="D5" s="38" t="s">
        <v>45</v>
      </c>
      <c r="E5" s="41">
        <v>3</v>
      </c>
      <c r="F5" s="39"/>
      <c r="G5" s="40" t="s">
        <v>48</v>
      </c>
    </row>
    <row r="6" spans="2:7" ht="18.5" x14ac:dyDescent="0.45">
      <c r="B6" s="57" t="s">
        <v>54</v>
      </c>
      <c r="C6" s="38" t="s">
        <v>49</v>
      </c>
      <c r="D6" s="38" t="s">
        <v>45</v>
      </c>
      <c r="E6" s="41">
        <v>3</v>
      </c>
      <c r="F6" s="39"/>
      <c r="G6" s="40" t="s">
        <v>48</v>
      </c>
    </row>
    <row r="7" spans="2:7" ht="18.5" x14ac:dyDescent="0.45">
      <c r="B7" s="57" t="s">
        <v>55</v>
      </c>
      <c r="C7" s="38" t="s">
        <v>80</v>
      </c>
      <c r="D7" s="38" t="s">
        <v>82</v>
      </c>
      <c r="E7" s="41">
        <v>2</v>
      </c>
      <c r="F7" s="39"/>
      <c r="G7" s="53" t="s">
        <v>50</v>
      </c>
    </row>
    <row r="8" spans="2:7" ht="18.5" x14ac:dyDescent="0.45">
      <c r="B8" s="57" t="s">
        <v>56</v>
      </c>
      <c r="C8" s="38" t="s">
        <v>81</v>
      </c>
      <c r="D8" s="38" t="s">
        <v>84</v>
      </c>
      <c r="E8" s="41">
        <v>2</v>
      </c>
      <c r="F8" s="39"/>
      <c r="G8" s="40" t="s">
        <v>83</v>
      </c>
    </row>
    <row r="9" spans="2:7" ht="18.5" x14ac:dyDescent="0.45">
      <c r="B9" s="57" t="s">
        <v>57</v>
      </c>
      <c r="C9" s="38" t="s">
        <v>85</v>
      </c>
      <c r="D9" s="38" t="s">
        <v>86</v>
      </c>
      <c r="E9" s="41">
        <v>1</v>
      </c>
      <c r="F9" s="39" t="s">
        <v>42</v>
      </c>
      <c r="G9" s="53" t="s">
        <v>87</v>
      </c>
    </row>
    <row r="10" spans="2:7" ht="18.5" x14ac:dyDescent="0.45">
      <c r="B10" s="57" t="s">
        <v>58</v>
      </c>
      <c r="C10" s="38" t="s">
        <v>89</v>
      </c>
      <c r="D10" s="38" t="s">
        <v>88</v>
      </c>
      <c r="E10" s="41">
        <v>3</v>
      </c>
      <c r="F10" s="39"/>
      <c r="G10" s="40"/>
    </row>
    <row r="11" spans="2:7" ht="18.5" x14ac:dyDescent="0.45">
      <c r="B11" s="57" t="s">
        <v>59</v>
      </c>
      <c r="C11" s="38" t="s">
        <v>89</v>
      </c>
      <c r="D11" s="38" t="s">
        <v>88</v>
      </c>
      <c r="E11" s="41">
        <v>3</v>
      </c>
      <c r="F11" s="39"/>
      <c r="G11" s="40"/>
    </row>
    <row r="12" spans="2:7" ht="18.5" x14ac:dyDescent="0.45">
      <c r="B12" s="57" t="s">
        <v>60</v>
      </c>
      <c r="C12" s="38" t="s">
        <v>90</v>
      </c>
      <c r="D12" s="38" t="s">
        <v>191</v>
      </c>
      <c r="E12" s="41">
        <v>3</v>
      </c>
      <c r="F12" s="39"/>
      <c r="G12" s="40"/>
    </row>
    <row r="13" spans="2:7" ht="18.5" x14ac:dyDescent="0.45">
      <c r="B13" s="57" t="s">
        <v>61</v>
      </c>
      <c r="C13" s="38" t="s">
        <v>101</v>
      </c>
      <c r="D13" s="38" t="s">
        <v>91</v>
      </c>
      <c r="E13" s="41">
        <v>3</v>
      </c>
      <c r="F13" s="39"/>
      <c r="G13" s="40" t="s">
        <v>93</v>
      </c>
    </row>
    <row r="14" spans="2:7" ht="18.5" x14ac:dyDescent="0.45">
      <c r="B14" s="57" t="s">
        <v>62</v>
      </c>
      <c r="C14" s="38" t="s">
        <v>92</v>
      </c>
      <c r="D14" s="38" t="s">
        <v>94</v>
      </c>
      <c r="E14" s="41">
        <v>1</v>
      </c>
      <c r="F14" s="39" t="s">
        <v>42</v>
      </c>
      <c r="G14" s="40" t="s">
        <v>95</v>
      </c>
    </row>
    <row r="15" spans="2:7" ht="18.5" x14ac:dyDescent="0.45">
      <c r="B15" s="57" t="s">
        <v>63</v>
      </c>
      <c r="C15" s="38" t="s">
        <v>186</v>
      </c>
      <c r="D15" s="108" t="s">
        <v>188</v>
      </c>
      <c r="E15" s="41">
        <v>1</v>
      </c>
      <c r="F15" s="39" t="s">
        <v>42</v>
      </c>
      <c r="G15" s="40"/>
    </row>
    <row r="16" spans="2:7" ht="18.5" x14ac:dyDescent="0.45">
      <c r="B16" s="57" t="s">
        <v>64</v>
      </c>
      <c r="C16" s="38" t="s">
        <v>97</v>
      </c>
      <c r="D16" s="38" t="s">
        <v>98</v>
      </c>
      <c r="E16" s="41">
        <v>1</v>
      </c>
      <c r="F16" s="39"/>
      <c r="G16" s="40" t="s">
        <v>99</v>
      </c>
    </row>
    <row r="17" spans="2:7" ht="18.5" x14ac:dyDescent="0.45">
      <c r="B17" s="57" t="s">
        <v>65</v>
      </c>
      <c r="C17" s="38" t="s">
        <v>100</v>
      </c>
      <c r="D17" s="38" t="s">
        <v>98</v>
      </c>
      <c r="E17" s="41">
        <v>1</v>
      </c>
      <c r="F17" s="39"/>
      <c r="G17" s="40" t="s">
        <v>99</v>
      </c>
    </row>
    <row r="18" spans="2:7" ht="18.5" x14ac:dyDescent="0.45">
      <c r="B18" s="57" t="s">
        <v>66</v>
      </c>
      <c r="C18" s="38" t="s">
        <v>137</v>
      </c>
      <c r="D18" s="42" t="s">
        <v>118</v>
      </c>
      <c r="E18" s="41">
        <v>2</v>
      </c>
      <c r="F18" s="39"/>
      <c r="G18" s="40"/>
    </row>
    <row r="19" spans="2:7" ht="18.5" x14ac:dyDescent="0.45">
      <c r="B19" s="57">
        <v>47</v>
      </c>
      <c r="C19" s="38" t="s">
        <v>101</v>
      </c>
      <c r="D19" s="38" t="s">
        <v>91</v>
      </c>
      <c r="E19" s="41">
        <v>2</v>
      </c>
      <c r="F19" s="39"/>
      <c r="G19" s="40" t="s">
        <v>93</v>
      </c>
    </row>
    <row r="20" spans="2:7" ht="18.5" x14ac:dyDescent="0.45">
      <c r="B20" s="57" t="s">
        <v>67</v>
      </c>
      <c r="C20" s="38" t="s">
        <v>102</v>
      </c>
      <c r="D20" s="38" t="s">
        <v>103</v>
      </c>
      <c r="E20" s="41">
        <v>1</v>
      </c>
      <c r="F20" s="39"/>
      <c r="G20" s="40" t="s">
        <v>104</v>
      </c>
    </row>
    <row r="21" spans="2:7" ht="18.5" x14ac:dyDescent="0.45">
      <c r="B21" s="57" t="s">
        <v>68</v>
      </c>
      <c r="C21" s="38" t="s">
        <v>102</v>
      </c>
      <c r="D21" s="38" t="s">
        <v>103</v>
      </c>
      <c r="E21" s="41">
        <v>1</v>
      </c>
      <c r="F21" s="39"/>
      <c r="G21" s="40" t="s">
        <v>104</v>
      </c>
    </row>
    <row r="22" spans="2:7" ht="18.5" x14ac:dyDescent="0.45">
      <c r="B22" s="57" t="s">
        <v>69</v>
      </c>
      <c r="C22" s="38" t="s">
        <v>190</v>
      </c>
      <c r="D22" s="38" t="s">
        <v>189</v>
      </c>
      <c r="E22" s="41">
        <v>2</v>
      </c>
      <c r="F22" s="39"/>
      <c r="G22" s="40" t="s">
        <v>105</v>
      </c>
    </row>
    <row r="23" spans="2:7" ht="18.5" x14ac:dyDescent="0.45">
      <c r="B23" s="57" t="s">
        <v>70</v>
      </c>
      <c r="C23" s="38" t="s">
        <v>184</v>
      </c>
      <c r="D23" s="38" t="s">
        <v>185</v>
      </c>
      <c r="E23" s="41">
        <v>2</v>
      </c>
      <c r="F23" s="39"/>
      <c r="G23" s="53" t="s">
        <v>6</v>
      </c>
    </row>
    <row r="24" spans="2:7" ht="18.5" x14ac:dyDescent="0.45">
      <c r="B24" s="57" t="s">
        <v>71</v>
      </c>
      <c r="C24" s="38" t="s">
        <v>106</v>
      </c>
      <c r="D24" s="38" t="s">
        <v>107</v>
      </c>
      <c r="E24" s="41">
        <v>2</v>
      </c>
      <c r="F24" s="39"/>
      <c r="G24" s="40"/>
    </row>
    <row r="25" spans="2:7" ht="18.5" x14ac:dyDescent="0.45">
      <c r="B25" s="57" t="s">
        <v>72</v>
      </c>
      <c r="C25" s="38" t="s">
        <v>106</v>
      </c>
      <c r="D25" s="38" t="s">
        <v>107</v>
      </c>
      <c r="E25" s="41">
        <v>2</v>
      </c>
      <c r="F25" s="39"/>
      <c r="G25" s="40"/>
    </row>
    <row r="26" spans="2:7" ht="18.5" x14ac:dyDescent="0.45">
      <c r="B26" s="57" t="s">
        <v>73</v>
      </c>
      <c r="C26" s="38" t="s">
        <v>108</v>
      </c>
      <c r="D26" s="38" t="s">
        <v>109</v>
      </c>
      <c r="E26" s="41">
        <v>3</v>
      </c>
      <c r="F26" s="39"/>
      <c r="G26" s="40"/>
    </row>
    <row r="27" spans="2:7" ht="18.5" x14ac:dyDescent="0.45">
      <c r="B27" s="58" t="s">
        <v>74</v>
      </c>
      <c r="C27" s="42" t="s">
        <v>110</v>
      </c>
      <c r="D27" s="42" t="s">
        <v>111</v>
      </c>
      <c r="E27" s="43">
        <v>1</v>
      </c>
      <c r="F27" s="44"/>
      <c r="G27" s="40" t="s">
        <v>112</v>
      </c>
    </row>
    <row r="28" spans="2:7" ht="18.5" x14ac:dyDescent="0.45">
      <c r="B28" s="58" t="s">
        <v>75</v>
      </c>
      <c r="C28" s="42" t="s">
        <v>113</v>
      </c>
      <c r="D28" s="42" t="s">
        <v>114</v>
      </c>
      <c r="E28" s="43">
        <v>1</v>
      </c>
      <c r="F28" s="44" t="s">
        <v>42</v>
      </c>
      <c r="G28" s="40"/>
    </row>
    <row r="29" spans="2:7" ht="18.5" x14ac:dyDescent="0.45">
      <c r="B29" s="58" t="s">
        <v>76</v>
      </c>
      <c r="C29" s="42" t="s">
        <v>115</v>
      </c>
      <c r="D29" s="42" t="s">
        <v>116</v>
      </c>
      <c r="E29" s="43">
        <v>2</v>
      </c>
      <c r="F29" s="44"/>
      <c r="G29" s="45"/>
    </row>
    <row r="30" spans="2:7" ht="18.5" x14ac:dyDescent="0.45">
      <c r="B30" s="58" t="s">
        <v>77</v>
      </c>
      <c r="C30" s="42" t="s">
        <v>117</v>
      </c>
      <c r="D30" s="108" t="s">
        <v>188</v>
      </c>
      <c r="E30" s="43">
        <v>3</v>
      </c>
      <c r="F30" s="44"/>
      <c r="G30" s="40"/>
    </row>
    <row r="31" spans="2:7" ht="18.5" x14ac:dyDescent="0.45">
      <c r="B31" s="58" t="s">
        <v>78</v>
      </c>
      <c r="C31" s="38" t="s">
        <v>186</v>
      </c>
      <c r="D31" s="38" t="s">
        <v>187</v>
      </c>
      <c r="E31" s="41">
        <v>3</v>
      </c>
      <c r="F31" s="39"/>
      <c r="G31" s="53" t="s">
        <v>6</v>
      </c>
    </row>
    <row r="32" spans="2:7" ht="19" thickBot="1" x14ac:dyDescent="0.5">
      <c r="B32" s="59" t="s">
        <v>79</v>
      </c>
      <c r="C32" s="46" t="s">
        <v>119</v>
      </c>
      <c r="D32" s="47" t="s">
        <v>120</v>
      </c>
      <c r="E32" s="48">
        <v>4</v>
      </c>
      <c r="F32" s="49" t="s">
        <v>42</v>
      </c>
      <c r="G32" s="50"/>
    </row>
    <row r="33" spans="5:5" ht="19" thickTop="1" x14ac:dyDescent="0.45">
      <c r="E33" s="55"/>
    </row>
    <row r="34" spans="5:5" ht="18.5" x14ac:dyDescent="0.45">
      <c r="E34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Ottoman</vt:lpstr>
      <vt:lpstr>Saudi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MikeAdmin</dc:creator>
  <cp:lastModifiedBy>Mike Richardson</cp:lastModifiedBy>
  <cp:lastPrinted>2011-03-09T23:30:13Z</cp:lastPrinted>
  <dcterms:created xsi:type="dcterms:W3CDTF">2011-03-08T12:49:08Z</dcterms:created>
  <dcterms:modified xsi:type="dcterms:W3CDTF">2026-10-12T09:03:19Z</dcterms:modified>
</cp:coreProperties>
</file>